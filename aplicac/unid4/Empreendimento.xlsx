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po\PUCMinasVirtual\"/>
    </mc:Choice>
  </mc:AlternateContent>
  <xr:revisionPtr revIDLastSave="0" documentId="13_ncr:1_{B6D1B47E-13E9-4209-8522-D0958BB645ED}" xr6:coauthVersionLast="47" xr6:coauthVersionMax="47" xr10:uidLastSave="{00000000-0000-0000-0000-000000000000}"/>
  <bookViews>
    <workbookView xWindow="1632" yWindow="5484" windowWidth="34560" windowHeight="18228" xr2:uid="{00000000-000D-0000-FFFF-FFFF00000000}"/>
  </bookViews>
  <sheets>
    <sheet name="Empreendimento Imobiliá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4" i="1" l="1"/>
  <c r="D35" i="1"/>
  <c r="D36" i="1"/>
  <c r="D37" i="1"/>
  <c r="D26" i="1"/>
  <c r="D27" i="1"/>
  <c r="D28" i="1"/>
  <c r="D29" i="1"/>
  <c r="D30" i="1"/>
  <c r="D31" i="1"/>
  <c r="D32" i="1"/>
  <c r="D33" i="1"/>
  <c r="D15" i="1"/>
  <c r="D16" i="1"/>
  <c r="D17" i="1"/>
  <c r="D18" i="1"/>
  <c r="D19" i="1"/>
  <c r="D20" i="1"/>
  <c r="D21" i="1"/>
  <c r="D22" i="1"/>
  <c r="D23" i="1"/>
  <c r="D24" i="1"/>
  <c r="D25" i="1"/>
  <c r="D11" i="1"/>
  <c r="D12" i="1"/>
  <c r="D13" i="1"/>
  <c r="D14" i="1"/>
  <c r="D10" i="1"/>
  <c r="G39" i="1" l="1"/>
</calcChain>
</file>

<file path=xl/sharedStrings.xml><?xml version="1.0" encoding="utf-8"?>
<sst xmlns="http://schemas.openxmlformats.org/spreadsheetml/2006/main" count="44" uniqueCount="44">
  <si>
    <t>Mês</t>
  </si>
  <si>
    <t>Etapa</t>
  </si>
  <si>
    <t>Terreno</t>
  </si>
  <si>
    <t>Fundação</t>
  </si>
  <si>
    <t>Obra 1</t>
  </si>
  <si>
    <t>Obra 2</t>
  </si>
  <si>
    <t>Obra 3</t>
  </si>
  <si>
    <t>Preço</t>
  </si>
  <si>
    <t>Obra 4</t>
  </si>
  <si>
    <t>Obra 5</t>
  </si>
  <si>
    <t>Obra 6</t>
  </si>
  <si>
    <t>Obra 7</t>
  </si>
  <si>
    <t>Obra 8</t>
  </si>
  <si>
    <t>Obra 9</t>
  </si>
  <si>
    <t>Obra 10</t>
  </si>
  <si>
    <t>Obra 11</t>
  </si>
  <si>
    <t>Obra 12</t>
  </si>
  <si>
    <t>Obra 13</t>
  </si>
  <si>
    <t>Obra 14</t>
  </si>
  <si>
    <t>Demolição 1</t>
  </si>
  <si>
    <t>Demolição 2</t>
  </si>
  <si>
    <t>Demolição 3</t>
  </si>
  <si>
    <t>Incorporação</t>
  </si>
  <si>
    <t>Lançamento</t>
  </si>
  <si>
    <t>Unidades</t>
  </si>
  <si>
    <t>FATURAMENTO DETALHADO</t>
  </si>
  <si>
    <t>Demolição 4</t>
  </si>
  <si>
    <t>Vendas 1</t>
  </si>
  <si>
    <t>Vendas 2</t>
  </si>
  <si>
    <t>Vendas 3</t>
  </si>
  <si>
    <t>Vendas 4</t>
  </si>
  <si>
    <t>Vendas 5</t>
  </si>
  <si>
    <t>Vendas 6</t>
  </si>
  <si>
    <t>Vendas 7</t>
  </si>
  <si>
    <t>Vendas 8</t>
  </si>
  <si>
    <t>Vendas 9</t>
  </si>
  <si>
    <t>Vendas 10</t>
  </si>
  <si>
    <t>Vendas 11</t>
  </si>
  <si>
    <t>Vendas 12</t>
  </si>
  <si>
    <t>Projeto 2</t>
  </si>
  <si>
    <t>Projeto 1</t>
  </si>
  <si>
    <t>Total</t>
  </si>
  <si>
    <t>Despesa</t>
  </si>
  <si>
    <t>Receita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</si>
</sst>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1" applyFont="1" applyBorder="1" applyAlignment="1">
      <alignment horizontal="center"/>
    </xf>
    <xf numFmtId="44" fontId="0" fillId="0" borderId="1" xfId="2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9"/>
  <sheetViews>
    <sheetView tabSelected="1" zoomScale="120" zoomScaleNormal="120" workbookViewId="0">
      <selection activeCell="C26" sqref="C26:C37"/>
    </sheetView>
  </sheetViews>
  <sheetFormatPr defaultColWidth="8.88671875" defaultRowHeight="14.4" x14ac:dyDescent="0.3"/>
  <cols>
    <col min="1" max="1" width="6.6640625" style="1" customWidth="1"/>
    <col min="2" max="2" width="18.6640625" style="8" customWidth="1"/>
    <col min="3" max="3" width="14.33203125" style="2" customWidth="1"/>
    <col min="4" max="4" width="13.6640625" style="2" customWidth="1"/>
    <col min="5" max="5" width="8.88671875" style="1" customWidth="1"/>
    <col min="6" max="6" width="15.5546875" style="1" customWidth="1"/>
    <col min="7" max="7" width="14.88671875" style="1" customWidth="1"/>
    <col min="8" max="16384" width="8.88671875" style="1"/>
  </cols>
  <sheetData>
    <row r="1" spans="1:7" x14ac:dyDescent="0.3">
      <c r="A1" s="3" t="s">
        <v>0</v>
      </c>
      <c r="B1" s="7" t="s">
        <v>1</v>
      </c>
      <c r="C1" s="4" t="s">
        <v>42</v>
      </c>
      <c r="D1" s="4" t="s">
        <v>43</v>
      </c>
      <c r="F1"/>
      <c r="G1"/>
    </row>
    <row r="2" spans="1:7" x14ac:dyDescent="0.3">
      <c r="A2" s="3">
        <v>0</v>
      </c>
      <c r="B2" s="7" t="s">
        <v>2</v>
      </c>
      <c r="C2" s="4">
        <v>2000000</v>
      </c>
      <c r="D2" s="4"/>
      <c r="F2"/>
      <c r="G2"/>
    </row>
    <row r="3" spans="1:7" x14ac:dyDescent="0.3">
      <c r="A3" s="3">
        <v>1</v>
      </c>
      <c r="B3" s="7" t="s">
        <v>40</v>
      </c>
      <c r="C3" s="4">
        <v>150000</v>
      </c>
      <c r="D3" s="4"/>
      <c r="F3"/>
      <c r="G3"/>
    </row>
    <row r="4" spans="1:7" x14ac:dyDescent="0.3">
      <c r="A4" s="3">
        <v>2</v>
      </c>
      <c r="B4" s="7" t="s">
        <v>19</v>
      </c>
      <c r="C4" s="4">
        <v>10000</v>
      </c>
      <c r="D4" s="4"/>
      <c r="F4"/>
      <c r="G4"/>
    </row>
    <row r="5" spans="1:7" x14ac:dyDescent="0.3">
      <c r="A5" s="3">
        <v>3</v>
      </c>
      <c r="B5" s="7" t="s">
        <v>20</v>
      </c>
      <c r="C5" s="4">
        <v>10000</v>
      </c>
      <c r="D5" s="4"/>
      <c r="F5"/>
      <c r="G5"/>
    </row>
    <row r="6" spans="1:7" x14ac:dyDescent="0.3">
      <c r="A6" s="3">
        <v>4</v>
      </c>
      <c r="B6" s="7" t="s">
        <v>21</v>
      </c>
      <c r="C6" s="4">
        <v>10000</v>
      </c>
      <c r="D6" s="4"/>
      <c r="F6"/>
      <c r="G6"/>
    </row>
    <row r="7" spans="1:7" x14ac:dyDescent="0.3">
      <c r="A7" s="3">
        <v>5</v>
      </c>
      <c r="B7" s="7" t="s">
        <v>26</v>
      </c>
      <c r="C7" s="4">
        <v>10000</v>
      </c>
      <c r="D7" s="4"/>
    </row>
    <row r="8" spans="1:7" x14ac:dyDescent="0.3">
      <c r="A8" s="3">
        <v>6</v>
      </c>
      <c r="B8" s="7" t="s">
        <v>39</v>
      </c>
      <c r="C8" s="4">
        <v>350000</v>
      </c>
      <c r="D8" s="4"/>
      <c r="F8" s="9" t="s">
        <v>25</v>
      </c>
      <c r="G8" s="9"/>
    </row>
    <row r="9" spans="1:7" x14ac:dyDescent="0.3">
      <c r="A9" s="3">
        <v>7</v>
      </c>
      <c r="B9" s="7" t="s">
        <v>22</v>
      </c>
      <c r="C9" s="4">
        <v>100000</v>
      </c>
      <c r="D9" s="4"/>
      <c r="F9" s="3" t="s">
        <v>7</v>
      </c>
      <c r="G9" s="3" t="s">
        <v>24</v>
      </c>
    </row>
    <row r="10" spans="1:7" x14ac:dyDescent="0.3">
      <c r="A10" s="3">
        <v>8</v>
      </c>
      <c r="B10" s="7" t="s">
        <v>23</v>
      </c>
      <c r="C10" s="4">
        <v>100000</v>
      </c>
      <c r="D10" s="4">
        <f>F10*G10</f>
        <v>600000</v>
      </c>
      <c r="F10" s="5">
        <v>120000</v>
      </c>
      <c r="G10" s="3">
        <v>5</v>
      </c>
    </row>
    <row r="11" spans="1:7" x14ac:dyDescent="0.3">
      <c r="A11" s="3">
        <v>9</v>
      </c>
      <c r="B11" s="7" t="s">
        <v>3</v>
      </c>
      <c r="C11" s="4">
        <v>1000000</v>
      </c>
      <c r="D11" s="4">
        <f t="shared" ref="D11:D37" si="0">F11*G11</f>
        <v>125000</v>
      </c>
      <c r="F11" s="5">
        <v>125000</v>
      </c>
      <c r="G11" s="3">
        <v>1</v>
      </c>
    </row>
    <row r="12" spans="1:7" x14ac:dyDescent="0.3">
      <c r="A12" s="3">
        <v>10</v>
      </c>
      <c r="B12" s="7" t="s">
        <v>4</v>
      </c>
      <c r="C12" s="4">
        <v>200000</v>
      </c>
      <c r="D12" s="4">
        <f t="shared" si="0"/>
        <v>130000</v>
      </c>
      <c r="F12" s="5">
        <v>130000</v>
      </c>
      <c r="G12" s="3">
        <v>1</v>
      </c>
    </row>
    <row r="13" spans="1:7" x14ac:dyDescent="0.3">
      <c r="A13" s="3">
        <v>11</v>
      </c>
      <c r="B13" s="7" t="s">
        <v>5</v>
      </c>
      <c r="C13" s="4">
        <v>200000</v>
      </c>
      <c r="D13" s="4">
        <f t="shared" si="0"/>
        <v>135000</v>
      </c>
      <c r="F13" s="5">
        <v>135000</v>
      </c>
      <c r="G13" s="3">
        <v>1</v>
      </c>
    </row>
    <row r="14" spans="1:7" x14ac:dyDescent="0.3">
      <c r="A14" s="3">
        <v>12</v>
      </c>
      <c r="B14" s="7" t="s">
        <v>6</v>
      </c>
      <c r="C14" s="4">
        <v>200000</v>
      </c>
      <c r="D14" s="4">
        <f t="shared" si="0"/>
        <v>140000</v>
      </c>
      <c r="F14" s="5">
        <v>140000</v>
      </c>
      <c r="G14" s="3">
        <v>1</v>
      </c>
    </row>
    <row r="15" spans="1:7" x14ac:dyDescent="0.3">
      <c r="A15" s="3">
        <v>13</v>
      </c>
      <c r="B15" s="7" t="s">
        <v>8</v>
      </c>
      <c r="C15" s="4">
        <v>200000</v>
      </c>
      <c r="D15" s="4">
        <f t="shared" si="0"/>
        <v>145000</v>
      </c>
      <c r="F15" s="5">
        <v>145000</v>
      </c>
      <c r="G15" s="3">
        <v>1</v>
      </c>
    </row>
    <row r="16" spans="1:7" x14ac:dyDescent="0.3">
      <c r="A16" s="3">
        <v>14</v>
      </c>
      <c r="B16" s="7" t="s">
        <v>9</v>
      </c>
      <c r="C16" s="4">
        <v>200000</v>
      </c>
      <c r="D16" s="4">
        <f t="shared" si="0"/>
        <v>150000</v>
      </c>
      <c r="F16" s="5">
        <v>150000</v>
      </c>
      <c r="G16" s="3">
        <v>1</v>
      </c>
    </row>
    <row r="17" spans="1:7" x14ac:dyDescent="0.3">
      <c r="A17" s="3">
        <v>15</v>
      </c>
      <c r="B17" s="7" t="s">
        <v>10</v>
      </c>
      <c r="C17" s="4">
        <v>200000</v>
      </c>
      <c r="D17" s="4">
        <f t="shared" si="0"/>
        <v>155000</v>
      </c>
      <c r="F17" s="5">
        <v>155000</v>
      </c>
      <c r="G17" s="3">
        <v>1</v>
      </c>
    </row>
    <row r="18" spans="1:7" x14ac:dyDescent="0.3">
      <c r="A18" s="3">
        <v>16</v>
      </c>
      <c r="B18" s="7" t="s">
        <v>11</v>
      </c>
      <c r="C18" s="4">
        <v>200000</v>
      </c>
      <c r="D18" s="4">
        <f t="shared" si="0"/>
        <v>160000</v>
      </c>
      <c r="F18" s="5">
        <v>160000</v>
      </c>
      <c r="G18" s="3">
        <v>1</v>
      </c>
    </row>
    <row r="19" spans="1:7" x14ac:dyDescent="0.3">
      <c r="A19" s="3">
        <v>17</v>
      </c>
      <c r="B19" s="7" t="s">
        <v>12</v>
      </c>
      <c r="C19" s="4">
        <v>200000</v>
      </c>
      <c r="D19" s="4">
        <f t="shared" si="0"/>
        <v>165000</v>
      </c>
      <c r="F19" s="5">
        <v>165000</v>
      </c>
      <c r="G19" s="3">
        <v>1</v>
      </c>
    </row>
    <row r="20" spans="1:7" x14ac:dyDescent="0.3">
      <c r="A20" s="3">
        <v>18</v>
      </c>
      <c r="B20" s="7" t="s">
        <v>13</v>
      </c>
      <c r="C20" s="4">
        <v>200000</v>
      </c>
      <c r="D20" s="4">
        <f t="shared" si="0"/>
        <v>170000</v>
      </c>
      <c r="F20" s="5">
        <v>170000</v>
      </c>
      <c r="G20" s="3">
        <v>1</v>
      </c>
    </row>
    <row r="21" spans="1:7" x14ac:dyDescent="0.3">
      <c r="A21" s="3">
        <v>19</v>
      </c>
      <c r="B21" s="7" t="s">
        <v>14</v>
      </c>
      <c r="C21" s="4">
        <v>200000</v>
      </c>
      <c r="D21" s="4">
        <f t="shared" si="0"/>
        <v>175000</v>
      </c>
      <c r="F21" s="5">
        <v>175000</v>
      </c>
      <c r="G21" s="3">
        <v>1</v>
      </c>
    </row>
    <row r="22" spans="1:7" x14ac:dyDescent="0.3">
      <c r="A22" s="3">
        <v>20</v>
      </c>
      <c r="B22" s="7" t="s">
        <v>15</v>
      </c>
      <c r="C22" s="4">
        <v>200000</v>
      </c>
      <c r="D22" s="4">
        <f t="shared" si="0"/>
        <v>360000</v>
      </c>
      <c r="F22" s="5">
        <v>180000</v>
      </c>
      <c r="G22" s="3">
        <v>2</v>
      </c>
    </row>
    <row r="23" spans="1:7" x14ac:dyDescent="0.3">
      <c r="A23" s="3">
        <v>21</v>
      </c>
      <c r="B23" s="7" t="s">
        <v>16</v>
      </c>
      <c r="C23" s="4">
        <v>200000</v>
      </c>
      <c r="D23" s="4">
        <f t="shared" si="0"/>
        <v>370000</v>
      </c>
      <c r="F23" s="5">
        <v>185000</v>
      </c>
      <c r="G23" s="3">
        <v>2</v>
      </c>
    </row>
    <row r="24" spans="1:7" x14ac:dyDescent="0.3">
      <c r="A24" s="3">
        <v>22</v>
      </c>
      <c r="B24" s="7" t="s">
        <v>17</v>
      </c>
      <c r="C24" s="4">
        <v>200000</v>
      </c>
      <c r="D24" s="4">
        <f t="shared" si="0"/>
        <v>380000</v>
      </c>
      <c r="F24" s="5">
        <v>190000</v>
      </c>
      <c r="G24" s="3">
        <v>2</v>
      </c>
    </row>
    <row r="25" spans="1:7" x14ac:dyDescent="0.3">
      <c r="A25" s="3">
        <v>23</v>
      </c>
      <c r="B25" s="7" t="s">
        <v>18</v>
      </c>
      <c r="C25" s="4">
        <v>200000</v>
      </c>
      <c r="D25" s="4">
        <f t="shared" si="0"/>
        <v>390000</v>
      </c>
      <c r="F25" s="5">
        <v>195000</v>
      </c>
      <c r="G25" s="3">
        <v>2</v>
      </c>
    </row>
    <row r="26" spans="1:7" x14ac:dyDescent="0.3">
      <c r="A26" s="3">
        <v>24</v>
      </c>
      <c r="B26" s="7" t="s">
        <v>27</v>
      </c>
      <c r="C26" s="4"/>
      <c r="D26" s="4">
        <f t="shared" si="0"/>
        <v>660000</v>
      </c>
      <c r="F26" s="6">
        <v>220000</v>
      </c>
      <c r="G26" s="3">
        <v>3</v>
      </c>
    </row>
    <row r="27" spans="1:7" x14ac:dyDescent="0.3">
      <c r="A27" s="3">
        <v>25</v>
      </c>
      <c r="B27" s="7" t="s">
        <v>28</v>
      </c>
      <c r="C27" s="4"/>
      <c r="D27" s="4">
        <f t="shared" si="0"/>
        <v>660000</v>
      </c>
      <c r="F27" s="6">
        <v>220000</v>
      </c>
      <c r="G27" s="3">
        <v>3</v>
      </c>
    </row>
    <row r="28" spans="1:7" x14ac:dyDescent="0.3">
      <c r="A28" s="3">
        <v>26</v>
      </c>
      <c r="B28" s="7" t="s">
        <v>29</v>
      </c>
      <c r="C28" s="4"/>
      <c r="D28" s="4">
        <f t="shared" si="0"/>
        <v>660000</v>
      </c>
      <c r="F28" s="6">
        <v>220000</v>
      </c>
      <c r="G28" s="3">
        <v>3</v>
      </c>
    </row>
    <row r="29" spans="1:7" x14ac:dyDescent="0.3">
      <c r="A29" s="3">
        <v>27</v>
      </c>
      <c r="B29" s="7" t="s">
        <v>30</v>
      </c>
      <c r="C29" s="4"/>
      <c r="D29" s="4">
        <f t="shared" si="0"/>
        <v>660000</v>
      </c>
      <c r="F29" s="6">
        <v>220000</v>
      </c>
      <c r="G29" s="3">
        <v>3</v>
      </c>
    </row>
    <row r="30" spans="1:7" x14ac:dyDescent="0.3">
      <c r="A30" s="3">
        <v>28</v>
      </c>
      <c r="B30" s="7" t="s">
        <v>31</v>
      </c>
      <c r="C30" s="4"/>
      <c r="D30" s="4">
        <f t="shared" si="0"/>
        <v>660000</v>
      </c>
      <c r="F30" s="6">
        <v>220000</v>
      </c>
      <c r="G30" s="3">
        <v>3</v>
      </c>
    </row>
    <row r="31" spans="1:7" x14ac:dyDescent="0.3">
      <c r="A31" s="3">
        <v>29</v>
      </c>
      <c r="B31" s="7" t="s">
        <v>32</v>
      </c>
      <c r="C31" s="4"/>
      <c r="D31" s="4">
        <f t="shared" si="0"/>
        <v>660000</v>
      </c>
      <c r="F31" s="6">
        <v>220000</v>
      </c>
      <c r="G31" s="3">
        <v>3</v>
      </c>
    </row>
    <row r="32" spans="1:7" x14ac:dyDescent="0.3">
      <c r="A32" s="3">
        <v>30</v>
      </c>
      <c r="B32" s="7" t="s">
        <v>33</v>
      </c>
      <c r="C32" s="4"/>
      <c r="D32" s="4">
        <f t="shared" si="0"/>
        <v>660000</v>
      </c>
      <c r="F32" s="6">
        <v>220000</v>
      </c>
      <c r="G32" s="3">
        <v>3</v>
      </c>
    </row>
    <row r="33" spans="1:7" x14ac:dyDescent="0.3">
      <c r="A33" s="3">
        <v>31</v>
      </c>
      <c r="B33" s="7" t="s">
        <v>34</v>
      </c>
      <c r="C33" s="4"/>
      <c r="D33" s="4">
        <f t="shared" si="0"/>
        <v>660000</v>
      </c>
      <c r="F33" s="6">
        <v>220000</v>
      </c>
      <c r="G33" s="3">
        <v>3</v>
      </c>
    </row>
    <row r="34" spans="1:7" x14ac:dyDescent="0.3">
      <c r="A34" s="3">
        <v>32</v>
      </c>
      <c r="B34" s="7" t="s">
        <v>35</v>
      </c>
      <c r="C34" s="4"/>
      <c r="D34" s="4">
        <f t="shared" si="0"/>
        <v>660000</v>
      </c>
      <c r="F34" s="6">
        <v>220000</v>
      </c>
      <c r="G34" s="3">
        <v>3</v>
      </c>
    </row>
    <row r="35" spans="1:7" x14ac:dyDescent="0.3">
      <c r="A35" s="3">
        <v>33</v>
      </c>
      <c r="B35" s="7" t="s">
        <v>36</v>
      </c>
      <c r="C35" s="4"/>
      <c r="D35" s="4">
        <f t="shared" si="0"/>
        <v>660000</v>
      </c>
      <c r="F35" s="6">
        <v>220000</v>
      </c>
      <c r="G35" s="3">
        <v>3</v>
      </c>
    </row>
    <row r="36" spans="1:7" x14ac:dyDescent="0.3">
      <c r="A36" s="3">
        <v>34</v>
      </c>
      <c r="B36" s="7" t="s">
        <v>37</v>
      </c>
      <c r="C36" s="4"/>
      <c r="D36" s="4">
        <f t="shared" si="0"/>
        <v>660000</v>
      </c>
      <c r="F36" s="6">
        <v>220000</v>
      </c>
      <c r="G36" s="3">
        <v>3</v>
      </c>
    </row>
    <row r="37" spans="1:7" x14ac:dyDescent="0.3">
      <c r="A37" s="3">
        <v>35</v>
      </c>
      <c r="B37" s="7" t="s">
        <v>38</v>
      </c>
      <c r="C37" s="4"/>
      <c r="D37" s="4">
        <f t="shared" si="0"/>
        <v>660000</v>
      </c>
      <c r="F37" s="6">
        <v>220000</v>
      </c>
      <c r="G37" s="3">
        <v>3</v>
      </c>
    </row>
    <row r="39" spans="1:7" x14ac:dyDescent="0.3">
      <c r="F39" s="1" t="s">
        <v>41</v>
      </c>
      <c r="G39" s="1">
        <f>SUM(G10:G38)</f>
        <v>60</v>
      </c>
    </row>
  </sheetData>
  <mergeCells count="1">
    <mergeCell ref="F8:G8"/>
  </mergeCells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Empreendimento Imobiliário</vt:lpstr>
    </vt:vector>
  </TitlesOfParts>
  <Company>Instituto de Pesquisa em Finanças &amp; Investimentos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Empreendimento Imobiliário</dc:title>
  <dc:creator>Leopoldo Grajeda</dc:creator>
  <cp:keywords>PUC Minas Virtual</cp:keywords>
  <cp:lastModifiedBy>Leopoldo Grajeda</cp:lastModifiedBy>
  <dcterms:created xsi:type="dcterms:W3CDTF">2011-04-20T18:27:22Z</dcterms:created>
  <dcterms:modified xsi:type="dcterms:W3CDTF">2023-04-21T17:47:32Z</dcterms:modified>
</cp:coreProperties>
</file>